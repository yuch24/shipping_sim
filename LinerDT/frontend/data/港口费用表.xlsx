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XU JINGYANG\Desktop\工工概论\W11数据整理\analysis_output\"/>
    </mc:Choice>
  </mc:AlternateContent>
  <xr:revisionPtr revIDLastSave="0" documentId="13_ncr:1_{C29E6C80-067F-4162-A105-E1E1FC944A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港口费用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7" i="1"/>
  <c r="F18" i="1"/>
  <c r="F19" i="1"/>
  <c r="F20" i="1"/>
  <c r="F21" i="1"/>
  <c r="F22" i="1"/>
  <c r="F23" i="1"/>
  <c r="F24" i="1"/>
  <c r="F14" i="1"/>
  <c r="F12" i="1"/>
  <c r="F4" i="1"/>
  <c r="F3" i="1"/>
  <c r="F11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<sst xmlns="http://schemas.openxmlformats.org/spreadsheetml/2006/main" count="92" uniqueCount="61">
  <si>
    <t>港口（英文）</t>
  </si>
  <si>
    <t>UNLOCODE</t>
  </si>
  <si>
    <t>所在航线</t>
  </si>
  <si>
    <t>固定挂靠费(USD/次)</t>
  </si>
  <si>
    <t>变动挂靠费(USD/FFE)</t>
  </si>
  <si>
    <t>装卸费-整箱(USD/FFE)</t>
  </si>
  <si>
    <t>备注</t>
  </si>
  <si>
    <t>Qingdao</t>
  </si>
  <si>
    <t>CNTAO</t>
  </si>
  <si>
    <t>AEU1 / AEU3</t>
  </si>
  <si>
    <t>LINERLIB数据</t>
  </si>
  <si>
    <t>Shanghai</t>
  </si>
  <si>
    <t>CNSHA</t>
  </si>
  <si>
    <t>AEU1 / AEU2 / AEU3</t>
  </si>
  <si>
    <t>Ningbo</t>
  </si>
  <si>
    <t>CNNGB</t>
  </si>
  <si>
    <t>Xiamen</t>
  </si>
  <si>
    <t>CNXMN</t>
  </si>
  <si>
    <t>AEU1</t>
  </si>
  <si>
    <t>Yantian</t>
  </si>
  <si>
    <t>CNYTN</t>
  </si>
  <si>
    <t>AEU1 / AEU2</t>
  </si>
  <si>
    <t>Singapore</t>
  </si>
  <si>
    <t>SGSIN</t>
  </si>
  <si>
    <t>Felixstowe</t>
  </si>
  <si>
    <t>GBFXT</t>
  </si>
  <si>
    <t>Zeebrugge</t>
  </si>
  <si>
    <t>BEZEE</t>
  </si>
  <si>
    <t>Gdansk</t>
  </si>
  <si>
    <t>PLGDA</t>
  </si>
  <si>
    <t>Wilhelmshaven</t>
  </si>
  <si>
    <t>DEWVN</t>
  </si>
  <si>
    <t>Tangier</t>
  </si>
  <si>
    <t>MAPTM</t>
  </si>
  <si>
    <t>AEU2</t>
  </si>
  <si>
    <t>Dunkirk</t>
  </si>
  <si>
    <t>FRDKK</t>
  </si>
  <si>
    <t>Southampton</t>
  </si>
  <si>
    <t>GBSOU</t>
  </si>
  <si>
    <t>Le Havre</t>
  </si>
  <si>
    <t>FRLEH</t>
  </si>
  <si>
    <t>Port Kelang</t>
  </si>
  <si>
    <t>MYPKG</t>
  </si>
  <si>
    <t>Tianjin</t>
  </si>
  <si>
    <t>CNTXG</t>
  </si>
  <si>
    <t>AEU3</t>
  </si>
  <si>
    <t>Dalian</t>
  </si>
  <si>
    <t>CNDLC</t>
  </si>
  <si>
    <t>Rotterdam</t>
  </si>
  <si>
    <t>NLRTM</t>
  </si>
  <si>
    <t>Hamburg</t>
  </si>
  <si>
    <t>DEHAM</t>
  </si>
  <si>
    <t>Antwerp</t>
  </si>
  <si>
    <t>BEANR</t>
  </si>
  <si>
    <t>估算值（参考Dunkirk，波罗的海区域港口）</t>
    <phoneticPr fontId="3" type="noConversion"/>
  </si>
  <si>
    <t>估算值（参考Hamburg，但装卸费下调了15%）</t>
    <phoneticPr fontId="3" type="noConversion"/>
  </si>
  <si>
    <t>港口靠泊费</t>
    <phoneticPr fontId="3" type="noConversion"/>
  </si>
  <si>
    <t>中国港口</t>
    <phoneticPr fontId="3" type="noConversion"/>
  </si>
  <si>
    <t>东亚港口</t>
    <phoneticPr fontId="3" type="noConversion"/>
  </si>
  <si>
    <t>欧洲港口</t>
    <phoneticPr fontId="3" type="noConversion"/>
  </si>
  <si>
    <r>
      <rPr>
        <b/>
        <sz val="10"/>
        <rFont val="宋体"/>
        <family val="3"/>
        <charset val="134"/>
      </rPr>
      <t>注：</t>
    </r>
    <r>
      <rPr>
        <sz val="10"/>
        <rFont val="宋体"/>
        <family val="3"/>
        <charset val="134"/>
      </rPr>
      <t>1、不同底色表示港口所在航线不同；
2、港口靠泊费是综合了固定挂靠费和变动挂靠费的总成本，是计算值。
目前中国港口以上海港的现行费用为基准，计算公式是：(固定挂靠费+10000*变动挂靠费)*0.64
欧洲港口的计算公式是：(固定挂靠费+10000*变动挂靠费)*0.80
（船的容量按20000TEU/10000FFE估算）
3、中国港口的装卸费，同样以以上海港的现行费用为基准，是由LINERLIB上的数据*0.64得到。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</si>
</sst>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);[Red]\(#,##0\)"/>
  </numFmts>
  <fonts count="7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8D6"/>
      </patternFill>
    </fill>
    <fill>
      <patternFill patternType="solid">
        <fgColor rgb="FFF0E6FF"/>
      </patternFill>
    </fill>
    <fill>
      <patternFill patternType="solid">
        <fgColor rgb="FFD6E4F0"/>
      </patternFill>
    </fill>
    <fill>
      <patternFill patternType="solid">
        <fgColor rgb="FFE8F8FF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5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left" vertical="center"/>
    </xf>
    <xf numFmtId="177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right" vertical="center" wrapText="1"/>
    </xf>
    <xf numFmtId="177" fontId="2" fillId="8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177" fontId="2" fillId="5" borderId="1" xfId="0" applyNumberFormat="1" applyFont="1" applyFill="1" applyBorder="1" applyAlignment="1">
      <alignment horizontal="right" vertical="center"/>
    </xf>
    <xf numFmtId="177" fontId="2" fillId="6" borderId="1" xfId="0" applyNumberFormat="1" applyFont="1" applyFill="1" applyBorder="1" applyAlignment="1">
      <alignment horizontal="right" vertical="center"/>
    </xf>
    <xf numFmtId="177" fontId="2" fillId="7" borderId="1" xfId="0" applyNumberFormat="1" applyFont="1" applyFill="1" applyBorder="1" applyAlignment="1">
      <alignment horizontal="right" vertical="center"/>
    </xf>
    <xf numFmtId="177" fontId="0" fillId="0" borderId="0" xfId="0" applyNumberFormat="1" applyAlignment="1">
      <alignment horizontal="right"/>
    </xf>
    <xf numFmtId="177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="120" workbookViewId="0">
      <selection activeCell="A26" sqref="A26:F31"/>
    </sheetView>
  </sheetViews>
  <sheetFormatPr defaultRowHeight="13.5" x14ac:dyDescent="0.3"/>
  <cols>
    <col min="1" max="1" width="22" customWidth="1"/>
    <col min="2" max="2" width="12" customWidth="1"/>
    <col min="3" max="3" width="22" customWidth="1"/>
    <col min="4" max="4" width="22" style="29" customWidth="1"/>
    <col min="5" max="5" width="22" style="15" customWidth="1"/>
    <col min="6" max="6" width="22" style="29" customWidth="1"/>
    <col min="7" max="7" width="24" style="15" customWidth="1"/>
    <col min="8" max="8" width="38.9296875" customWidth="1"/>
  </cols>
  <sheetData>
    <row r="1" spans="1:9" ht="35" customHeight="1" x14ac:dyDescent="0.3">
      <c r="A1" s="1" t="s">
        <v>0</v>
      </c>
      <c r="B1" s="1" t="s">
        <v>1</v>
      </c>
      <c r="C1" s="1" t="s">
        <v>2</v>
      </c>
      <c r="D1" s="21" t="s">
        <v>3</v>
      </c>
      <c r="E1" s="1" t="s">
        <v>4</v>
      </c>
      <c r="F1" s="30" t="s">
        <v>56</v>
      </c>
      <c r="G1" s="17" t="s">
        <v>5</v>
      </c>
      <c r="H1" s="1" t="s">
        <v>6</v>
      </c>
    </row>
    <row r="2" spans="1:9" ht="35" customHeight="1" x14ac:dyDescent="0.3">
      <c r="A2" s="17" t="s">
        <v>57</v>
      </c>
      <c r="B2" s="1"/>
      <c r="C2" s="1"/>
      <c r="D2" s="22"/>
      <c r="E2" s="16"/>
      <c r="F2" s="31"/>
      <c r="G2" s="8"/>
      <c r="H2" s="1"/>
    </row>
    <row r="3" spans="1:9" ht="20" customHeight="1" x14ac:dyDescent="0.3">
      <c r="A3" s="7" t="s">
        <v>43</v>
      </c>
      <c r="B3" s="7" t="s">
        <v>44</v>
      </c>
      <c r="C3" s="7" t="s">
        <v>45</v>
      </c>
      <c r="D3" s="23">
        <v>5922</v>
      </c>
      <c r="E3" s="14">
        <v>4</v>
      </c>
      <c r="F3" s="23">
        <f t="shared" ref="F3:F9" si="0">(D3+10000*E3)*0.64</f>
        <v>29390.080000000002</v>
      </c>
      <c r="G3" s="14">
        <v>110</v>
      </c>
      <c r="H3" s="7" t="s">
        <v>10</v>
      </c>
      <c r="I3" s="18"/>
    </row>
    <row r="4" spans="1:9" ht="20" customHeight="1" x14ac:dyDescent="0.3">
      <c r="A4" s="7" t="s">
        <v>46</v>
      </c>
      <c r="B4" s="7" t="s">
        <v>47</v>
      </c>
      <c r="C4" s="7" t="s">
        <v>45</v>
      </c>
      <c r="D4" s="23">
        <v>860</v>
      </c>
      <c r="E4" s="14">
        <v>8</v>
      </c>
      <c r="F4" s="23">
        <f t="shared" si="0"/>
        <v>51750.400000000001</v>
      </c>
      <c r="G4" s="14">
        <v>80</v>
      </c>
      <c r="H4" s="7" t="s">
        <v>10</v>
      </c>
    </row>
    <row r="5" spans="1:9" ht="20" customHeight="1" x14ac:dyDescent="0.3">
      <c r="A5" s="2" t="s">
        <v>7</v>
      </c>
      <c r="B5" s="2" t="s">
        <v>8</v>
      </c>
      <c r="C5" s="2" t="s">
        <v>9</v>
      </c>
      <c r="D5" s="24">
        <v>6813</v>
      </c>
      <c r="E5" s="9">
        <v>5</v>
      </c>
      <c r="F5" s="24">
        <f t="shared" si="0"/>
        <v>36360.32</v>
      </c>
      <c r="G5" s="9">
        <v>79</v>
      </c>
      <c r="H5" s="2" t="s">
        <v>10</v>
      </c>
    </row>
    <row r="6" spans="1:9" ht="20" customHeight="1" x14ac:dyDescent="0.3">
      <c r="A6" s="3" t="s">
        <v>11</v>
      </c>
      <c r="B6" s="3" t="s">
        <v>12</v>
      </c>
      <c r="C6" s="3" t="s">
        <v>13</v>
      </c>
      <c r="D6" s="25">
        <v>6497</v>
      </c>
      <c r="E6" s="10">
        <v>6</v>
      </c>
      <c r="F6" s="25">
        <f t="shared" si="0"/>
        <v>42558.080000000002</v>
      </c>
      <c r="G6" s="10">
        <v>96</v>
      </c>
      <c r="H6" s="3" t="s">
        <v>10</v>
      </c>
    </row>
    <row r="7" spans="1:9" ht="20" customHeight="1" x14ac:dyDescent="0.3">
      <c r="A7" s="3" t="s">
        <v>14</v>
      </c>
      <c r="B7" s="3" t="s">
        <v>15</v>
      </c>
      <c r="C7" s="3" t="s">
        <v>13</v>
      </c>
      <c r="D7" s="25">
        <v>7275</v>
      </c>
      <c r="E7" s="10">
        <v>4</v>
      </c>
      <c r="F7" s="25">
        <f t="shared" si="0"/>
        <v>30256</v>
      </c>
      <c r="G7" s="10">
        <v>76</v>
      </c>
      <c r="H7" s="3" t="s">
        <v>10</v>
      </c>
    </row>
    <row r="8" spans="1:9" ht="20" customHeight="1" x14ac:dyDescent="0.3">
      <c r="A8" s="4" t="s">
        <v>16</v>
      </c>
      <c r="B8" s="4" t="s">
        <v>17</v>
      </c>
      <c r="C8" s="4" t="s">
        <v>18</v>
      </c>
      <c r="D8" s="26">
        <v>5267</v>
      </c>
      <c r="E8" s="11">
        <v>4</v>
      </c>
      <c r="F8" s="26">
        <f t="shared" si="0"/>
        <v>28970.880000000001</v>
      </c>
      <c r="G8" s="11">
        <v>69</v>
      </c>
      <c r="H8" s="4" t="s">
        <v>10</v>
      </c>
    </row>
    <row r="9" spans="1:9" ht="20" customHeight="1" x14ac:dyDescent="0.3">
      <c r="A9" s="5" t="s">
        <v>19</v>
      </c>
      <c r="B9" s="5" t="s">
        <v>20</v>
      </c>
      <c r="C9" s="5" t="s">
        <v>21</v>
      </c>
      <c r="D9" s="27">
        <v>7220</v>
      </c>
      <c r="E9" s="12">
        <v>4</v>
      </c>
      <c r="F9" s="27">
        <f t="shared" si="0"/>
        <v>30220.799999999999</v>
      </c>
      <c r="G9" s="12">
        <v>113</v>
      </c>
      <c r="H9" s="5" t="s">
        <v>10</v>
      </c>
    </row>
    <row r="10" spans="1:9" ht="35" customHeight="1" x14ac:dyDescent="0.3">
      <c r="A10" s="17" t="s">
        <v>58</v>
      </c>
      <c r="B10" s="1"/>
      <c r="C10" s="1"/>
      <c r="D10" s="22"/>
      <c r="E10" s="16"/>
      <c r="F10" s="31"/>
      <c r="G10" s="8"/>
      <c r="H10" s="1"/>
    </row>
    <row r="11" spans="1:9" ht="20" customHeight="1" x14ac:dyDescent="0.3">
      <c r="A11" s="3" t="s">
        <v>22</v>
      </c>
      <c r="B11" s="3" t="s">
        <v>23</v>
      </c>
      <c r="C11" s="3" t="s">
        <v>13</v>
      </c>
      <c r="D11" s="25">
        <v>3268</v>
      </c>
      <c r="E11" s="10">
        <v>1</v>
      </c>
      <c r="F11" s="25">
        <f>(D11+10000*E11)</f>
        <v>13268</v>
      </c>
      <c r="G11" s="10">
        <v>130</v>
      </c>
      <c r="H11" s="3" t="s">
        <v>10</v>
      </c>
    </row>
    <row r="12" spans="1:9" ht="20" customHeight="1" x14ac:dyDescent="0.3">
      <c r="A12" s="6" t="s">
        <v>41</v>
      </c>
      <c r="B12" s="6" t="s">
        <v>42</v>
      </c>
      <c r="C12" s="6" t="s">
        <v>34</v>
      </c>
      <c r="D12" s="28">
        <v>2549</v>
      </c>
      <c r="E12" s="13">
        <v>3</v>
      </c>
      <c r="F12" s="28">
        <f>(D12+10000*E12)</f>
        <v>32549</v>
      </c>
      <c r="G12" s="13">
        <v>50</v>
      </c>
      <c r="H12" s="6" t="s">
        <v>10</v>
      </c>
    </row>
    <row r="13" spans="1:9" ht="35" customHeight="1" x14ac:dyDescent="0.3">
      <c r="A13" s="17" t="s">
        <v>59</v>
      </c>
      <c r="B13" s="1"/>
      <c r="C13" s="1"/>
      <c r="D13" s="22"/>
      <c r="E13" s="16"/>
      <c r="F13" s="31"/>
      <c r="G13" s="8"/>
      <c r="H13" s="1"/>
    </row>
    <row r="14" spans="1:9" ht="20" customHeight="1" x14ac:dyDescent="0.3">
      <c r="A14" s="4" t="s">
        <v>24</v>
      </c>
      <c r="B14" s="4" t="s">
        <v>25</v>
      </c>
      <c r="C14" s="4" t="s">
        <v>18</v>
      </c>
      <c r="D14" s="26">
        <v>12936</v>
      </c>
      <c r="E14" s="11">
        <v>9</v>
      </c>
      <c r="F14" s="26">
        <f>(D14+10000*E14)*0.8</f>
        <v>82348.800000000003</v>
      </c>
      <c r="G14" s="11">
        <v>145</v>
      </c>
      <c r="H14" s="4" t="s">
        <v>10</v>
      </c>
    </row>
    <row r="15" spans="1:9" ht="20" customHeight="1" x14ac:dyDescent="0.3">
      <c r="A15" s="4" t="s">
        <v>26</v>
      </c>
      <c r="B15" s="4" t="s">
        <v>27</v>
      </c>
      <c r="C15" s="4" t="s">
        <v>18</v>
      </c>
      <c r="D15" s="26">
        <v>12047</v>
      </c>
      <c r="E15" s="11">
        <v>9</v>
      </c>
      <c r="F15" s="26">
        <f t="shared" ref="F15:F24" si="1">(D15+10000*E15)*0.8</f>
        <v>81637.600000000006</v>
      </c>
      <c r="G15" s="11">
        <v>136</v>
      </c>
      <c r="H15" s="4" t="s">
        <v>10</v>
      </c>
    </row>
    <row r="16" spans="1:9" ht="20" customHeight="1" x14ac:dyDescent="0.3">
      <c r="A16" s="4" t="s">
        <v>28</v>
      </c>
      <c r="B16" s="4" t="s">
        <v>29</v>
      </c>
      <c r="C16" s="4" t="s">
        <v>18</v>
      </c>
      <c r="D16" s="26">
        <v>9821</v>
      </c>
      <c r="E16" s="11">
        <v>12</v>
      </c>
      <c r="F16" s="26">
        <f t="shared" si="1"/>
        <v>103856.8</v>
      </c>
      <c r="G16" s="11">
        <v>128</v>
      </c>
      <c r="H16" s="4" t="s">
        <v>54</v>
      </c>
    </row>
    <row r="17" spans="1:8" ht="20" customHeight="1" x14ac:dyDescent="0.3">
      <c r="A17" s="4" t="s">
        <v>30</v>
      </c>
      <c r="B17" s="4" t="s">
        <v>31</v>
      </c>
      <c r="C17" s="4" t="s">
        <v>18</v>
      </c>
      <c r="D17" s="26">
        <v>18560</v>
      </c>
      <c r="E17" s="11">
        <v>15</v>
      </c>
      <c r="F17" s="26">
        <f t="shared" si="1"/>
        <v>134848</v>
      </c>
      <c r="G17" s="11">
        <v>230</v>
      </c>
      <c r="H17" s="4" t="s">
        <v>55</v>
      </c>
    </row>
    <row r="18" spans="1:8" ht="20" customHeight="1" x14ac:dyDescent="0.3">
      <c r="A18" s="6" t="s">
        <v>32</v>
      </c>
      <c r="B18" s="6" t="s">
        <v>33</v>
      </c>
      <c r="C18" s="6" t="s">
        <v>34</v>
      </c>
      <c r="D18" s="28">
        <v>1675</v>
      </c>
      <c r="E18" s="13">
        <v>8</v>
      </c>
      <c r="F18" s="28">
        <f t="shared" si="1"/>
        <v>65340</v>
      </c>
      <c r="G18" s="13">
        <v>80</v>
      </c>
      <c r="H18" s="6" t="s">
        <v>10</v>
      </c>
    </row>
    <row r="19" spans="1:8" ht="20" customHeight="1" x14ac:dyDescent="0.3">
      <c r="A19" s="6" t="s">
        <v>35</v>
      </c>
      <c r="B19" s="6" t="s">
        <v>36</v>
      </c>
      <c r="C19" s="6" t="s">
        <v>34</v>
      </c>
      <c r="D19" s="28">
        <v>9821</v>
      </c>
      <c r="E19" s="13">
        <v>12</v>
      </c>
      <c r="F19" s="28">
        <f t="shared" si="1"/>
        <v>103856.8</v>
      </c>
      <c r="G19" s="13">
        <v>142</v>
      </c>
      <c r="H19" s="6" t="s">
        <v>10</v>
      </c>
    </row>
    <row r="20" spans="1:8" ht="20" customHeight="1" x14ac:dyDescent="0.3">
      <c r="A20" s="6" t="s">
        <v>37</v>
      </c>
      <c r="B20" s="6" t="s">
        <v>38</v>
      </c>
      <c r="C20" s="6" t="s">
        <v>34</v>
      </c>
      <c r="D20" s="28">
        <v>38789</v>
      </c>
      <c r="E20" s="13">
        <v>3</v>
      </c>
      <c r="F20" s="28">
        <f t="shared" si="1"/>
        <v>55031.200000000004</v>
      </c>
      <c r="G20" s="13">
        <v>141</v>
      </c>
      <c r="H20" s="6" t="s">
        <v>10</v>
      </c>
    </row>
    <row r="21" spans="1:8" ht="20" customHeight="1" x14ac:dyDescent="0.3">
      <c r="A21" s="6" t="s">
        <v>39</v>
      </c>
      <c r="B21" s="6" t="s">
        <v>40</v>
      </c>
      <c r="C21" s="6" t="s">
        <v>34</v>
      </c>
      <c r="D21" s="28">
        <v>9947</v>
      </c>
      <c r="E21" s="13">
        <v>10</v>
      </c>
      <c r="F21" s="28">
        <f t="shared" si="1"/>
        <v>87957.6</v>
      </c>
      <c r="G21" s="13">
        <v>222</v>
      </c>
      <c r="H21" s="6" t="s">
        <v>10</v>
      </c>
    </row>
    <row r="22" spans="1:8" ht="20" customHeight="1" x14ac:dyDescent="0.3">
      <c r="A22" s="7" t="s">
        <v>48</v>
      </c>
      <c r="B22" s="7" t="s">
        <v>49</v>
      </c>
      <c r="C22" s="7" t="s">
        <v>45</v>
      </c>
      <c r="D22" s="23">
        <v>19187</v>
      </c>
      <c r="E22" s="14">
        <v>16</v>
      </c>
      <c r="F22" s="23">
        <f t="shared" si="1"/>
        <v>143349.6</v>
      </c>
      <c r="G22" s="14">
        <v>113</v>
      </c>
      <c r="H22" s="7" t="s">
        <v>10</v>
      </c>
    </row>
    <row r="23" spans="1:8" ht="20" customHeight="1" x14ac:dyDescent="0.3">
      <c r="A23" s="7" t="s">
        <v>50</v>
      </c>
      <c r="B23" s="7" t="s">
        <v>51</v>
      </c>
      <c r="C23" s="7" t="s">
        <v>45</v>
      </c>
      <c r="D23" s="23">
        <v>18560</v>
      </c>
      <c r="E23" s="14">
        <v>15</v>
      </c>
      <c r="F23" s="23">
        <f t="shared" si="1"/>
        <v>134848</v>
      </c>
      <c r="G23" s="14">
        <v>270</v>
      </c>
      <c r="H23" s="7" t="s">
        <v>10</v>
      </c>
    </row>
    <row r="24" spans="1:8" ht="20" customHeight="1" x14ac:dyDescent="0.3">
      <c r="A24" s="7" t="s">
        <v>52</v>
      </c>
      <c r="B24" s="7" t="s">
        <v>53</v>
      </c>
      <c r="C24" s="7" t="s">
        <v>45</v>
      </c>
      <c r="D24" s="23">
        <v>13087</v>
      </c>
      <c r="E24" s="14">
        <v>16</v>
      </c>
      <c r="F24" s="23">
        <f t="shared" si="1"/>
        <v>138469.6</v>
      </c>
      <c r="G24" s="14">
        <v>206</v>
      </c>
      <c r="H24" s="7" t="s">
        <v>10</v>
      </c>
    </row>
    <row r="26" spans="1:8" x14ac:dyDescent="0.3">
      <c r="A26" s="19" t="s">
        <v>60</v>
      </c>
      <c r="B26" s="20"/>
      <c r="C26" s="20"/>
      <c r="D26" s="20"/>
      <c r="E26" s="20"/>
      <c r="F26" s="20"/>
    </row>
    <row r="27" spans="1:8" x14ac:dyDescent="0.3">
      <c r="A27" s="20"/>
      <c r="B27" s="20"/>
      <c r="C27" s="20"/>
      <c r="D27" s="20"/>
      <c r="E27" s="20"/>
      <c r="F27" s="20"/>
    </row>
    <row r="28" spans="1:8" x14ac:dyDescent="0.3">
      <c r="A28" s="20"/>
      <c r="B28" s="20"/>
      <c r="C28" s="20"/>
      <c r="D28" s="20"/>
      <c r="E28" s="20"/>
      <c r="F28" s="20"/>
    </row>
    <row r="29" spans="1:8" x14ac:dyDescent="0.3">
      <c r="A29" s="20"/>
      <c r="B29" s="20"/>
      <c r="C29" s="20"/>
      <c r="D29" s="20"/>
      <c r="E29" s="20"/>
      <c r="F29" s="20"/>
    </row>
    <row r="30" spans="1:8" x14ac:dyDescent="0.3">
      <c r="A30" s="20"/>
      <c r="B30" s="20"/>
      <c r="C30" s="20"/>
      <c r="D30" s="20"/>
      <c r="E30" s="20"/>
      <c r="F30" s="20"/>
    </row>
    <row r="31" spans="1:8" x14ac:dyDescent="0.3">
      <c r="A31" s="20"/>
      <c r="B31" s="20"/>
      <c r="C31" s="20"/>
      <c r="D31" s="20"/>
      <c r="E31" s="20"/>
      <c r="F31" s="20"/>
    </row>
  </sheetData>
  <mergeCells count="1">
    <mergeCell ref="A26:F3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港口费用汇总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渡</cp:lastModifiedBy>
  <dcterms:created xsi:type="dcterms:W3CDTF">2026-05-03T06:44:53Z</dcterms:created>
  <dcterms:modified xsi:type="dcterms:W3CDTF">2026-05-15T03:38:06Z</dcterms:modified>
</cp:coreProperties>
</file>